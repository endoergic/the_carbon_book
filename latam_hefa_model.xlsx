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Destination Compare" sheetId="3" state="visible" r:id="rId5"/>
    <sheet name="Bridge Handof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<sst xmlns="http://schemas.openxmlformats.org/spreadsheetml/2006/main" count="190" uniqueCount="170">
  <si>
    <t xml:space="preserve">LATAM HEFA — Bridge-Financing Model (VCM → Compliance Handoff)</t>
  </si>
  <si>
    <t xml:space="preserve">Companion to: Appendix to Chapters 7 &amp; 8 — Fuel-Based VCM White Space.  Built 2026-05-23.</t>
  </si>
  <si>
    <t xml:space="preserve">WHAT THIS MODELS</t>
  </si>
  <si>
    <t xml:space="preserve">A HEFA renewable-fuel project in a deregulated LATAM geography (no domestic LCFS/RFS analog). The</t>
  </si>
  <si>
    <t xml:space="preserve">question: can a voluntary carbon / SAF book-and-claim revenue stream bridge the project across FID,</t>
  </si>
  <si>
    <t xml:space="preserve">until the molecules/attributes reach a compliance market OR local regulation arrives — and what happens</t>
  </si>
  <si>
    <t xml:space="preserve">to the economics at that handoff (the 'toll booth that closes behind you').</t>
  </si>
  <si>
    <t xml:space="preserve">THE CENTRAL INSIGHT (additionality inversion)</t>
  </si>
  <si>
    <t xml:space="preserve">The same physical plant has very different economics by destination. Where compliance revenue is rich</t>
  </si>
  <si>
    <t xml:space="preserve">(US: RIN+LCFS+45Z), the project is bankable on compliance alone → the VCM credit is NON-ADDITIONAL and</t>
  </si>
  <si>
    <t xml:space="preserve">the attribute is already claimed. The VCM bridge is only defensible in the pure-bridge case, where no</t>
  </si>
  <si>
    <t xml:space="preserve">regime claims the attribute and the credit is what makes the project pencil — and that revenue is FINITE.</t>
  </si>
  <si>
    <t xml:space="preserve">HOW TO USE</t>
  </si>
  <si>
    <t xml:space="preserve">1. 'Inputs' tab — every BLUE cell is yours to change. YELLOW = key assumptions to pressure-test.</t>
  </si>
  <si>
    <t xml:space="preserve">2. 'Destination Compare' — the same plant, 3 destinations side by side (US / EU export / Pure VCM bridge).</t>
  </si>
  <si>
    <t xml:space="preserve">3. 'Bridge Handoff' — the 10-yr view: VCM revenue for the bridge window, then transition to compliance,</t>
  </si>
  <si>
    <t xml:space="preserve">   with an explicit stranding haircut at the handoff. This is the part standard texts omit.</t>
  </si>
  <si>
    <t xml:space="preserve">COLOR KEY</t>
  </si>
  <si>
    <t xml:space="preserve">Blue text = input you change.   Black = formula.   Green = pulled from another tab.   Yellow fill = key assumption.</t>
  </si>
  <si>
    <t xml:space="preserve">HONESTY FLAGS — read before trusting any number</t>
  </si>
  <si>
    <t xml:space="preserve">• All cost/CI/hurdle figures are LABELED INDUSTRY-TYPICAL PLACEHOLDERS, not a specific project. Swap them.</t>
  </si>
  <si>
    <t xml:space="preserve">• Credit prices are grounded to Q1–Q2 2026 (LCFS ~$63/MT; 45Z up to $1.00/gal; SAF B&amp;C ~$1,500–3,500/tCO2e)</t>
  </si>
  <si>
    <t xml:space="preserve">  but move weekly. Verify before use.</t>
  </si>
  <si>
    <t xml:space="preserve">• The VCM bridge case assumes a registry methodology accepts it AND that additionality survives — both are</t>
  </si>
  <si>
    <t xml:space="preserve">  contestable. If the project pencils WITHOUT the VCM line, the VCM credit is by definition non-additional.</t>
  </si>
  <si>
    <t xml:space="preserve">• This is a teaching/screening tool, not investment advice.</t>
  </si>
  <si>
    <t xml:space="preserve">INPUTS — every blue cell is yours to change</t>
  </si>
  <si>
    <t xml:space="preserve">Yellow = key assumptions to pressure-test. All values are industry-typical placeholders.</t>
  </si>
  <si>
    <t xml:space="preserve">PLANT &amp; PRODUCTION</t>
  </si>
  <si>
    <t xml:space="preserve">Nameplate capacity</t>
  </si>
  <si>
    <t xml:space="preserve">M gal/yr</t>
  </si>
  <si>
    <t xml:space="preserve">Mid-size HEFA SAF/renewable-diesel plant</t>
  </si>
  <si>
    <t xml:space="preserve">Utilization</t>
  </si>
  <si>
    <t xml:space="preserve">%</t>
  </si>
  <si>
    <t xml:space="preserve">Steady-state run rate</t>
  </si>
  <si>
    <t xml:space="preserve">Annual production (calc)</t>
  </si>
  <si>
    <t xml:space="preserve">ECONOMICS (per gallon unless noted)</t>
  </si>
  <si>
    <t xml:space="preserve">Physical fuel price premium vs fossil</t>
  </si>
  <si>
    <t xml:space="preserve">$/gal</t>
  </si>
  <si>
    <t xml:space="preserve">Spread over jet-A/diesel the buyer pays</t>
  </si>
  <si>
    <t xml:space="preserve">Feedstock + opex (variable)</t>
  </si>
  <si>
    <t xml:space="preserve">UCO/tallow + processing; the swing cost</t>
  </si>
  <si>
    <t xml:space="preserve">Base fossil fuel value captured</t>
  </si>
  <si>
    <t xml:space="preserve">What the molecule is worth as plain fuel</t>
  </si>
  <si>
    <t xml:space="preserve">Capex (total project)</t>
  </si>
  <si>
    <t xml:space="preserve">$M</t>
  </si>
  <si>
    <t xml:space="preserve">Greenfield/retrofit; placeholder</t>
  </si>
  <si>
    <t xml:space="preserve">Annualized capex charge</t>
  </si>
  <si>
    <t xml:space="preserve">Simplified: debt service + return per gal</t>
  </si>
  <si>
    <t xml:space="preserve">Hurdle: min margin to clear FID</t>
  </si>
  <si>
    <t xml:space="preserve">Project must beat this to reach FID</t>
  </si>
  <si>
    <t xml:space="preserve">CARBON INTENSITY</t>
  </si>
  <si>
    <t xml:space="preserve">Fossil baseline CI</t>
  </si>
  <si>
    <t xml:space="preserve">gCO2e/MJ</t>
  </si>
  <si>
    <t xml:space="preserve">Comparator for reductions</t>
  </si>
  <si>
    <t xml:space="preserve">Project HEFA CI</t>
  </si>
  <si>
    <t xml:space="preserve">Typical HEFA-from-waste pathway</t>
  </si>
  <si>
    <t xml:space="preserve">Energy per gallon</t>
  </si>
  <si>
    <t xml:space="preserve">MJ/gal</t>
  </si>
  <si>
    <t xml:space="preserve">~SAF/renewable diesel energy density</t>
  </si>
  <si>
    <t xml:space="preserve">CO2e reduced per gallon (calc)</t>
  </si>
  <si>
    <t xml:space="preserve">tCO2e/gal</t>
  </si>
  <si>
    <t xml:space="preserve">(CI_fossil - CI_proj) x MJ/gal / 1e6</t>
  </si>
  <si>
    <t xml:space="preserve">CREDIT / INCENTIVE PRICES (Q1-Q2 2026, verify before use)</t>
  </si>
  <si>
    <t xml:space="preserve">RIN value (D4/D5 equiv)</t>
  </si>
  <si>
    <t xml:space="preserve">Source: D4 RIN market, 2026 (placeholder)</t>
  </si>
  <si>
    <t xml:space="preserve">LCFS credit price</t>
  </si>
  <si>
    <t xml:space="preserve">$/tCO2e</t>
  </si>
  <si>
    <t xml:space="preserve">Source: ~$63/MT Q1 2026 (CARB/OPIS)</t>
  </si>
  <si>
    <t xml:space="preserve">45Z production credit</t>
  </si>
  <si>
    <t xml:space="preserve">Source: up to $1.00/gal by CI, thru 2029</t>
  </si>
  <si>
    <t xml:space="preserve">EU SAF compliance premium</t>
  </si>
  <si>
    <t xml:space="preserve">ReFuelEU mandate-driven price uplift</t>
  </si>
  <si>
    <t xml:space="preserve">SAF book-and-claim cert price (REFERENCE ONLY)</t>
  </si>
  <si>
    <t xml:space="preserve">Aviation-scarcity premium; NOT a clean abatement price - do not stack vs compliance</t>
  </si>
  <si>
    <t xml:space="preserve">VCM bridge price (realistic per-tonne proxy)</t>
  </si>
  <si>
    <t xml:space="preserve">Defensible fuel-pathway voluntary credit, ~$20-80/t; USED in bridge case</t>
  </si>
  <si>
    <t xml:space="preserve">BRIDGE &amp; HANDOFF ASSUMPTIONS</t>
  </si>
  <si>
    <t xml:space="preserve">Bridge window (years VCM-eligible)</t>
  </si>
  <si>
    <t xml:space="preserve">years</t>
  </si>
  <si>
    <t xml:space="preserve">Until local reg / compliance arrives</t>
  </si>
  <si>
    <t xml:space="preserve">Stranding haircut at handoff</t>
  </si>
  <si>
    <t xml:space="preserve">Share of VCM revenue LOST when reg claims attribute</t>
  </si>
  <si>
    <t xml:space="preserve">Compliance value post-handoff</t>
  </si>
  <si>
    <t xml:space="preserve">What replaces VCM once regime arrives</t>
  </si>
  <si>
    <t xml:space="preserve">Discount rate</t>
  </si>
  <si>
    <t xml:space="preserve">For NPV of the 10-yr stream</t>
  </si>
  <si>
    <t xml:space="preserve">SAME PLANT, THREE DESTINATIONS — margin per gallon</t>
  </si>
  <si>
    <t xml:space="preserve">The additionality inversion in one screen: richer compliance stack = less defensible VCM.</t>
  </si>
  <si>
    <t xml:space="preserve">Revenue / cost line ($/gal)</t>
  </si>
  <si>
    <t xml:space="preserve">US (RIN+LCFS+45Z)</t>
  </si>
  <si>
    <t xml:space="preserve">EU export (ReFuelEU)</t>
  </si>
  <si>
    <t xml:space="preserve">Pure VCM bridge</t>
  </si>
  <si>
    <t xml:space="preserve">Note</t>
  </si>
  <si>
    <t xml:space="preserve">Base fuel value</t>
  </si>
  <si>
    <t xml:space="preserve">Plain molecule value</t>
  </si>
  <si>
    <t xml:space="preserve">Physical premium</t>
  </si>
  <si>
    <t xml:space="preserve">EU mandate premium replaces generic premium</t>
  </si>
  <si>
    <t xml:space="preserve">RIN</t>
  </si>
  <si>
    <t xml:space="preserve">US only</t>
  </si>
  <si>
    <t xml:space="preserve">LCFS credit</t>
  </si>
  <si>
    <t xml:space="preserve">US: $/tCO2e x tCO2e/gal</t>
  </si>
  <si>
    <t xml:space="preserve">45Z</t>
  </si>
  <si>
    <t xml:space="preserve">US only, thru 2029</t>
  </si>
  <si>
    <t xml:space="preserve">VCM / book-and-claim (proxy price)</t>
  </si>
  <si>
    <t xml:space="preserve">Bridge only; realistic per-tonne proxy, attribute unclaimed</t>
  </si>
  <si>
    <t xml:space="preserve">TOTAL REVENUE / gal</t>
  </si>
  <si>
    <t xml:space="preserve">Less: feedstock + opex</t>
  </si>
  <si>
    <t xml:space="preserve">Variable cost</t>
  </si>
  <si>
    <t xml:space="preserve">Less: annualized capex</t>
  </si>
  <si>
    <t xml:space="preserve">Debt service + return</t>
  </si>
  <si>
    <t xml:space="preserve">NET MARGIN / gal</t>
  </si>
  <si>
    <t xml:space="preserve">Hurdle rate</t>
  </si>
  <si>
    <t xml:space="preserve">Min margin to clear FID</t>
  </si>
  <si>
    <t xml:space="preserve">CLEARS FID?</t>
  </si>
  <si>
    <t xml:space="preserve">VCM ADDITIONAL?</t>
  </si>
  <si>
    <t xml:space="preserve">The inversion: where compliance pays, VCM is non-additional &amp; attribute already claimed.</t>
  </si>
  <si>
    <t xml:space="preserve">Annual net margin ($M/yr)</t>
  </si>
  <si>
    <t xml:space="preserve">Margin/gal x annual production</t>
  </si>
  <si>
    <t xml:space="preserve">READ THIS:</t>
  </si>
  <si>
    <t xml:space="preserve">• If US / EU columns clear FID without the VCM line, a voluntary credit there is NON-ADDITIONAL.</t>
  </si>
  <si>
    <t xml:space="preserve">• The Pure VCM bridge is the only column where the credit can be the swing vote that crosses FID.</t>
  </si>
  <si>
    <t xml:space="preserve">• But that bridge revenue is FINITE — see 'Bridge Handoff' tab for what happens when regulation arrives.</t>
  </si>
  <si>
    <t xml:space="preserve">THE UNIT MISMATCH (why you cannot naively stack VCM vs compliance)</t>
  </si>
  <si>
    <t xml:space="preserve">Instrument</t>
  </si>
  <si>
    <t xml:space="preserve">Quoted unit</t>
  </si>
  <si>
    <t xml:space="preserve">Per tCO2e</t>
  </si>
  <si>
    <t xml:space="preserve">Per gallon</t>
  </si>
  <si>
    <t xml:space="preserve">Why they don't compare</t>
  </si>
  <si>
    <t xml:space="preserve">Volumetric; converts to a modest per-tonne value</t>
  </si>
  <si>
    <t xml:space="preserve">Genuine carbon price; comparable to VCM proxy</t>
  </si>
  <si>
    <t xml:space="preserve">VCM bridge proxy</t>
  </si>
  <si>
    <t xml:space="preserve">Realistic fuel-pathway voluntary credit</t>
  </si>
  <si>
    <t xml:space="preserve">SAF cert (reference)</t>
  </si>
  <si>
    <t xml:space="preserve">DANGER: $/gal here exceeds whole fuel+stack. It is an aviation-scarcity premium for a DIFFERENT claim, not a clean abatement price. Do NOT multiply by gallons and stack.</t>
  </si>
  <si>
    <t xml:space="preserve">LESSON: RIN/45Z are quoted per gallon; LCFS and VCM per tCO2e. To compare, convert to ONE unit.</t>
  </si>
  <si>
    <t xml:space="preserve">A HEFA gallon abates only ~0.0085 tCO2e, so any per-tonne price x gallons looks tiny in $/gal terms —</t>
  </si>
  <si>
    <t xml:space="preserve">EXCEPT the SAF certificate price, which is NOT a carbon-abatement price. Multiplying it by a gallon's</t>
  </si>
  <si>
    <t xml:space="preserve">abatement (the naive stack) implied ~$17/gal — more than the entire fuel plus its compliance stack.</t>
  </si>
  <si>
    <t xml:space="preserve">That absurd result IS the lesson: the units lie, and SAF certs answer a different question than carbon credits.</t>
  </si>
  <si>
    <t xml:space="preserve">BRIDGE HANDOFF — 10-year revenue path (Pure VCM bridge case)</t>
  </si>
  <si>
    <t xml:space="preserve">VCM revenue during the bridge window, then transition to compliance — with a stranding haircut at the handoff.</t>
  </si>
  <si>
    <t xml:space="preserve">Year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</si>
  <si>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</si>
  <si>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</si>
  <si>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</si>
  <si>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</si>
  <si>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</si>
  <si>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</si>
  <si>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</si>
  <si>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</si>
  <si>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</si>
  <si>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</si>
  <si>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In bridge window?</t>
  </si>
  <si>
    <t xml:space="preserve">VCM rev ($/gal)</t>
  </si>
  <si>
    <t xml:space="preserve">Compliance rev ($/gal)</t>
  </si>
  <si>
    <t xml:space="preserve">Underlying fuel margin ($/gal)</t>
  </si>
  <si>
    <t xml:space="preserve">TOTAL margin ($/gal)</t>
  </si>
  <si>
    <t xml:space="preserve">Annual margin ($M)</t>
  </si>
  <si>
    <t xml:space="preserve">Discount factor</t>
  </si>
  <si>
    <t xml:space="preserve">PV of annual margin ($M)</t>
  </si>
  <si>
    <t xml:space="preserve">NPV of 10-yr margin ($M)</t>
  </si>
  <si>
    <t xml:space="preserve">Sum of discounted annual margins</t>
  </si>
  <si>
    <t xml:space="preserve">WHAT THE HANDOFF SHOWS:</t>
  </si>
  <si>
    <t xml:space="preserve">• During the bridge window the project lives on VCM revenue (attribute unclaimed by any regime).</t>
  </si>
  <si>
    <t xml:space="preserve">• When regulation arrives, the attribute is claimed by the compliance regime — VCM revenue STOPS.</t>
  </si>
  <si>
    <t xml:space="preserve">• The stranding haircut models value LOST in that transition (uncompensated claim, low price, or gap).</t>
  </si>
  <si>
    <t xml:space="preserve">• Underwrite the bridge on the FINITE VCM stream + the (haircut) compliance stream that follows — not on</t>
  </si>
  <si>
    <t xml:space="preserve">  VCM revenue continuing forever. A long bridge window helps; a deep stranding haircut hurts.</t>
  </si>
  <si>
    <t xml:space="preserve">• Stress the two yellow drivers on Inputs: bridge window length and stranding haircut.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</si>
</sst>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\$#,##0.00;&quot;($&quot;#,##0.00\);\-"/>
    <numFmt numFmtId="168" formatCode="\$#,##0;&quot;($&quot;#,##0\);\-"/>
    <numFmt numFmtId="169" formatCode="#,##0.0;\(#,##0.0\);\-"/>
    <numFmt numFmtId="170" formatCode="\$#,##0.000;&quot;($&quot;#,##0.000\);\-"/>
    <numFmt numFmtId="171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/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5"/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5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B1" s="6" t="s">
        <v>26</v>
      </c>
    </row>
    <row r="2" customFormat="false" ht="15" hidden="false" customHeight="false" outlineLevel="0" collapsed="false">
      <c r="B2" s="7" t="s">
        <v>27</v>
      </c>
    </row>
    <row r="4" customFormat="false" ht="15" hidden="false" customHeight="false" outlineLevel="0" collapsed="false">
      <c r="B4" s="8" t="s">
        <v>28</v>
      </c>
      <c r="C4" s="9"/>
      <c r="D4" s="9"/>
      <c r="E4" s="9"/>
    </row>
    <row r="5" customFormat="false" ht="15" hidden="false" customHeight="false" outlineLevel="0" collapsed="false">
      <c r="B5" s="4" t="s">
        <v>29</v>
      </c>
      <c r="C5" s="10" t="n">
        <v>100</v>
      </c>
      <c r="D5" s="2" t="s">
        <v>30</v>
      </c>
      <c r="E5" s="2" t="s">
        <v>31</v>
      </c>
    </row>
    <row r="6" customFormat="false" ht="15" hidden="false" customHeight="false" outlineLevel="0" collapsed="false">
      <c r="B6" s="4" t="s">
        <v>32</v>
      </c>
      <c r="C6" s="11" t="n">
        <v>0.9</v>
      </c>
      <c r="D6" s="2" t="s">
        <v>33</v>
      </c>
      <c r="E6" s="2" t="s">
        <v>34</v>
      </c>
    </row>
    <row r="7" customFormat="false" ht="15" hidden="false" customHeight="false" outlineLevel="0" collapsed="false">
      <c r="B7" s="4" t="s">
        <v>35</v>
      </c>
      <c r="C7" s="12" t="n">
        <f aca="false">C5*C6</f>
        <v>90</v>
      </c>
      <c r="D7" s="7" t="s">
        <v>30</v>
      </c>
    </row>
    <row r="9" customFormat="false" ht="15" hidden="false" customHeight="false" outlineLevel="0" collapsed="false">
      <c r="B9" s="8" t="s">
        <v>36</v>
      </c>
      <c r="C9" s="9"/>
      <c r="D9" s="9"/>
      <c r="E9" s="9"/>
    </row>
    <row r="10" customFormat="false" ht="15" hidden="false" customHeight="false" outlineLevel="0" collapsed="false">
      <c r="B10" s="4" t="s">
        <v>37</v>
      </c>
      <c r="C10" s="13" t="n">
        <v>1.5</v>
      </c>
      <c r="D10" s="2" t="s">
        <v>38</v>
      </c>
      <c r="E10" s="2" t="s">
        <v>39</v>
      </c>
    </row>
    <row r="11" customFormat="false" ht="15" hidden="false" customHeight="false" outlineLevel="0" collapsed="false">
      <c r="B11" s="4" t="s">
        <v>40</v>
      </c>
      <c r="C11" s="14" t="n">
        <v>3.2</v>
      </c>
      <c r="D11" s="2" t="s">
        <v>38</v>
      </c>
      <c r="E11" s="2" t="s">
        <v>41</v>
      </c>
    </row>
    <row r="12" customFormat="false" ht="15" hidden="false" customHeight="false" outlineLevel="0" collapsed="false">
      <c r="B12" s="4" t="s">
        <v>42</v>
      </c>
      <c r="C12" s="13" t="n">
        <v>2.3</v>
      </c>
      <c r="D12" s="2" t="s">
        <v>38</v>
      </c>
      <c r="E12" s="2" t="s">
        <v>43</v>
      </c>
    </row>
    <row r="13" customFormat="false" ht="15" hidden="false" customHeight="false" outlineLevel="0" collapsed="false">
      <c r="B13" s="4" t="s">
        <v>44</v>
      </c>
      <c r="C13" s="15" t="n">
        <v>500</v>
      </c>
      <c r="D13" s="2" t="s">
        <v>45</v>
      </c>
      <c r="E13" s="2" t="s">
        <v>46</v>
      </c>
    </row>
    <row r="14" customFormat="false" ht="15" hidden="false" customHeight="false" outlineLevel="0" collapsed="false">
      <c r="B14" s="4" t="s">
        <v>47</v>
      </c>
      <c r="C14" s="13" t="n">
        <v>0.45</v>
      </c>
      <c r="D14" s="2" t="s">
        <v>38</v>
      </c>
      <c r="E14" s="2" t="s">
        <v>48</v>
      </c>
    </row>
    <row r="15" customFormat="false" ht="15" hidden="false" customHeight="false" outlineLevel="0" collapsed="false">
      <c r="B15" s="4" t="s">
        <v>49</v>
      </c>
      <c r="C15" s="14" t="n">
        <v>0.5</v>
      </c>
      <c r="D15" s="2" t="s">
        <v>38</v>
      </c>
      <c r="E15" s="2" t="s">
        <v>50</v>
      </c>
    </row>
    <row r="17" customFormat="false" ht="15" hidden="false" customHeight="false" outlineLevel="0" collapsed="false">
      <c r="B17" s="8" t="s">
        <v>51</v>
      </c>
      <c r="C17" s="9"/>
      <c r="D17" s="9"/>
      <c r="E17" s="9"/>
    </row>
    <row r="18" customFormat="false" ht="15" hidden="false" customHeight="false" outlineLevel="0" collapsed="false">
      <c r="B18" s="4" t="s">
        <v>52</v>
      </c>
      <c r="C18" s="16" t="n">
        <v>90</v>
      </c>
      <c r="D18" s="2" t="s">
        <v>53</v>
      </c>
      <c r="E18" s="2" t="s">
        <v>54</v>
      </c>
    </row>
    <row r="19" customFormat="false" ht="15" hidden="false" customHeight="false" outlineLevel="0" collapsed="false">
      <c r="B19" s="4" t="s">
        <v>55</v>
      </c>
      <c r="C19" s="17" t="n">
        <v>25</v>
      </c>
      <c r="D19" s="2" t="s">
        <v>53</v>
      </c>
      <c r="E19" s="2" t="s">
        <v>56</v>
      </c>
    </row>
    <row r="20" customFormat="false" ht="15" hidden="false" customHeight="false" outlineLevel="0" collapsed="false">
      <c r="B20" s="4" t="s">
        <v>57</v>
      </c>
      <c r="C20" s="16" t="n">
        <v>130</v>
      </c>
      <c r="D20" s="2" t="s">
        <v>58</v>
      </c>
      <c r="E20" s="2" t="s">
        <v>59</v>
      </c>
    </row>
    <row r="21" customFormat="false" ht="15" hidden="false" customHeight="false" outlineLevel="0" collapsed="false">
      <c r="B21" s="4" t="s">
        <v>60</v>
      </c>
      <c r="C21" s="18" t="n">
        <f aca="false">(C18-C19)*C20/1000000</f>
        <v>0.00845</v>
      </c>
      <c r="D21" s="7" t="s">
        <v>61</v>
      </c>
      <c r="E21" s="7" t="s">
        <v>62</v>
      </c>
    </row>
    <row r="23" customFormat="false" ht="26.85" hidden="false" customHeight="false" outlineLevel="0" collapsed="false">
      <c r="B23" s="8" t="s">
        <v>63</v>
      </c>
      <c r="C23" s="9"/>
      <c r="D23" s="9"/>
      <c r="E23" s="9"/>
    </row>
    <row r="24" customFormat="false" ht="15" hidden="false" customHeight="false" outlineLevel="0" collapsed="false">
      <c r="B24" s="4" t="s">
        <v>64</v>
      </c>
      <c r="C24" s="13" t="n">
        <v>0.8</v>
      </c>
      <c r="D24" s="2" t="s">
        <v>38</v>
      </c>
      <c r="E24" s="2" t="s">
        <v>65</v>
      </c>
    </row>
    <row r="25" customFormat="false" ht="15" hidden="false" customHeight="false" outlineLevel="0" collapsed="false">
      <c r="B25" s="4" t="s">
        <v>66</v>
      </c>
      <c r="C25" s="15" t="n">
        <v>63</v>
      </c>
      <c r="D25" s="2" t="s">
        <v>67</v>
      </c>
      <c r="E25" s="2" t="s">
        <v>68</v>
      </c>
    </row>
    <row r="26" customFormat="false" ht="15" hidden="false" customHeight="false" outlineLevel="0" collapsed="false">
      <c r="B26" s="4" t="s">
        <v>69</v>
      </c>
      <c r="C26" s="13" t="n">
        <v>0.75</v>
      </c>
      <c r="D26" s="2" t="s">
        <v>38</v>
      </c>
      <c r="E26" s="2" t="s">
        <v>70</v>
      </c>
    </row>
    <row r="27" customFormat="false" ht="15" hidden="false" customHeight="false" outlineLevel="0" collapsed="false">
      <c r="B27" s="4" t="s">
        <v>71</v>
      </c>
      <c r="C27" s="13" t="n">
        <v>1.8</v>
      </c>
      <c r="D27" s="2" t="s">
        <v>38</v>
      </c>
      <c r="E27" s="2" t="s">
        <v>72</v>
      </c>
    </row>
    <row r="28" customFormat="false" ht="22.35" hidden="false" customHeight="false" outlineLevel="0" collapsed="false">
      <c r="B28" s="4" t="s">
        <v>73</v>
      </c>
      <c r="C28" s="15" t="n">
        <v>2000</v>
      </c>
      <c r="D28" s="2" t="s">
        <v>67</v>
      </c>
      <c r="E28" s="2" t="s">
        <v>74</v>
      </c>
    </row>
    <row r="29" customFormat="false" ht="15" hidden="false" customHeight="false" outlineLevel="0" collapsed="false">
      <c r="B29" s="4" t="s">
        <v>75</v>
      </c>
      <c r="C29" s="15" t="n">
        <v>50</v>
      </c>
      <c r="D29" s="2" t="s">
        <v>67</v>
      </c>
      <c r="E29" s="2" t="s">
        <v>76</v>
      </c>
    </row>
    <row r="31" customFormat="false" ht="15" hidden="false" customHeight="false" outlineLevel="0" collapsed="false">
      <c r="B31" s="8" t="s">
        <v>77</v>
      </c>
      <c r="C31" s="9"/>
      <c r="D31" s="9"/>
      <c r="E31" s="9"/>
    </row>
    <row r="32" customFormat="false" ht="15" hidden="false" customHeight="false" outlineLevel="0" collapsed="false">
      <c r="B32" s="4" t="s">
        <v>78</v>
      </c>
      <c r="C32" s="10" t="n">
        <v>4</v>
      </c>
      <c r="D32" s="2" t="s">
        <v>79</v>
      </c>
      <c r="E32" s="2" t="s">
        <v>80</v>
      </c>
    </row>
    <row r="33" customFormat="false" ht="15" hidden="false" customHeight="false" outlineLevel="0" collapsed="false">
      <c r="B33" s="4" t="s">
        <v>81</v>
      </c>
      <c r="C33" s="19" t="n">
        <v>0.4</v>
      </c>
      <c r="D33" s="2" t="s">
        <v>33</v>
      </c>
      <c r="E33" s="2" t="s">
        <v>82</v>
      </c>
    </row>
    <row r="34" customFormat="false" ht="15" hidden="false" customHeight="false" outlineLevel="0" collapsed="false">
      <c r="B34" s="4" t="s">
        <v>83</v>
      </c>
      <c r="C34" s="13" t="n">
        <v>1.2</v>
      </c>
      <c r="D34" s="2" t="s">
        <v>38</v>
      </c>
      <c r="E34" s="2" t="s">
        <v>84</v>
      </c>
    </row>
    <row r="35" customFormat="false" ht="15" hidden="false" customHeight="false" outlineLevel="0" collapsed="false">
      <c r="B35" s="4" t="s">
        <v>85</v>
      </c>
      <c r="C35" s="11" t="n">
        <v>0.12</v>
      </c>
      <c r="D35" s="2" t="s">
        <v>33</v>
      </c>
      <c r="E35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3"/>
    <col collapsed="false" customWidth="true" hidden="false" outlineLevel="0" max="7" min="7" style="0" width="52"/>
  </cols>
  <sheetData>
    <row r="1" customFormat="false" ht="17.35" hidden="false" customHeight="false" outlineLevel="0" collapsed="false">
      <c r="B1" s="6" t="s">
        <v>87</v>
      </c>
    </row>
    <row r="2" customFormat="false" ht="15" hidden="false" customHeight="false" outlineLevel="0" collapsed="false">
      <c r="B2" s="7" t="s">
        <v>88</v>
      </c>
    </row>
    <row r="4" customFormat="false" ht="39.55" hidden="false" customHeight="false" outlineLevel="0" collapsed="false">
      <c r="B4" s="20" t="s">
        <v>89</v>
      </c>
      <c r="C4" s="20" t="s">
        <v>90</v>
      </c>
      <c r="D4" s="20" t="s">
        <v>91</v>
      </c>
      <c r="E4" s="20" t="s">
        <v>92</v>
      </c>
      <c r="G4" s="20" t="s">
        <v>93</v>
      </c>
    </row>
    <row r="5" customFormat="false" ht="15" hidden="false" customHeight="false" outlineLevel="0" collapsed="false">
      <c r="B5" s="4" t="s">
        <v>94</v>
      </c>
      <c r="C5" s="21" t="n">
        <f aca="false">Inputs!C12</f>
        <v>2.3</v>
      </c>
      <c r="D5" s="21" t="n">
        <f aca="false">Inputs!C12</f>
        <v>2.3</v>
      </c>
      <c r="E5" s="21" t="n">
        <f aca="false">Inputs!C12</f>
        <v>2.3</v>
      </c>
      <c r="G5" s="2" t="s">
        <v>95</v>
      </c>
    </row>
    <row r="6" customFormat="false" ht="15" hidden="false" customHeight="false" outlineLevel="0" collapsed="false">
      <c r="B6" s="4" t="s">
        <v>96</v>
      </c>
      <c r="C6" s="21" t="n">
        <f aca="false">Inputs!C10</f>
        <v>1.5</v>
      </c>
      <c r="D6" s="21" t="n">
        <f aca="false">Inputs!C27</f>
        <v>1.8</v>
      </c>
      <c r="E6" s="21" t="n">
        <f aca="false">Inputs!C10</f>
        <v>1.5</v>
      </c>
      <c r="G6" s="2" t="s">
        <v>97</v>
      </c>
    </row>
    <row r="7" customFormat="false" ht="15" hidden="false" customHeight="false" outlineLevel="0" collapsed="false">
      <c r="B7" s="4" t="s">
        <v>98</v>
      </c>
      <c r="C7" s="21" t="n">
        <f aca="false">Inputs!C24</f>
        <v>0.8</v>
      </c>
      <c r="D7" s="21" t="n">
        <v>0</v>
      </c>
      <c r="E7" s="21" t="n">
        <v>0</v>
      </c>
      <c r="G7" s="2" t="s">
        <v>99</v>
      </c>
    </row>
    <row r="8" customFormat="false" ht="15" hidden="false" customHeight="false" outlineLevel="0" collapsed="false">
      <c r="B8" s="4" t="s">
        <v>100</v>
      </c>
      <c r="C8" s="21" t="n">
        <f aca="false">Inputs!C25*Inputs!C21</f>
        <v>0.53235</v>
      </c>
      <c r="D8" s="21" t="n">
        <v>0</v>
      </c>
      <c r="E8" s="21" t="n">
        <v>0</v>
      </c>
      <c r="G8" s="2" t="s">
        <v>101</v>
      </c>
    </row>
    <row r="9" customFormat="false" ht="15" hidden="false" customHeight="false" outlineLevel="0" collapsed="false">
      <c r="B9" s="4" t="s">
        <v>102</v>
      </c>
      <c r="C9" s="21" t="n">
        <f aca="false">Inputs!C26</f>
        <v>0.75</v>
      </c>
      <c r="D9" s="21" t="n">
        <v>0</v>
      </c>
      <c r="E9" s="21" t="n">
        <v>0</v>
      </c>
      <c r="G9" s="2" t="s">
        <v>103</v>
      </c>
    </row>
    <row r="10" customFormat="false" ht="15" hidden="false" customHeight="false" outlineLevel="0" collapsed="false">
      <c r="B10" s="4" t="s">
        <v>104</v>
      </c>
      <c r="C10" s="21" t="n">
        <v>0</v>
      </c>
      <c r="D10" s="21" t="n">
        <v>0</v>
      </c>
      <c r="E10" s="21" t="n">
        <f aca="false">Inputs!C29*Inputs!C21</f>
        <v>0.4225</v>
      </c>
      <c r="G10" s="2" t="s">
        <v>105</v>
      </c>
    </row>
    <row r="11" customFormat="false" ht="15" hidden="false" customHeight="false" outlineLevel="0" collapsed="false">
      <c r="B11" s="22" t="s">
        <v>106</v>
      </c>
      <c r="C11" s="23" t="n">
        <f aca="false">SUM(C5:C10)</f>
        <v>5.88235</v>
      </c>
      <c r="D11" s="23" t="n">
        <f aca="false">SUM(D5:D10)</f>
        <v>4.1</v>
      </c>
      <c r="E11" s="23" t="n">
        <f aca="false">SUM(E5:E10)</f>
        <v>4.2225</v>
      </c>
      <c r="G11" s="2"/>
    </row>
    <row r="12" customFormat="false" ht="15" hidden="false" customHeight="false" outlineLevel="0" collapsed="false">
      <c r="B12" s="4" t="s">
        <v>107</v>
      </c>
      <c r="C12" s="21" t="n">
        <f aca="false">-Inputs!C11</f>
        <v>-3.2</v>
      </c>
      <c r="D12" s="21" t="n">
        <f aca="false">-Inputs!C11</f>
        <v>-3.2</v>
      </c>
      <c r="E12" s="21" t="n">
        <f aca="false">-Inputs!C11</f>
        <v>-3.2</v>
      </c>
      <c r="G12" s="2" t="s">
        <v>108</v>
      </c>
    </row>
    <row r="13" customFormat="false" ht="15" hidden="false" customHeight="false" outlineLevel="0" collapsed="false">
      <c r="B13" s="4" t="s">
        <v>109</v>
      </c>
      <c r="C13" s="21" t="n">
        <f aca="false">-Inputs!C14</f>
        <v>-0.45</v>
      </c>
      <c r="D13" s="21" t="n">
        <f aca="false">-Inputs!C14</f>
        <v>-0.45</v>
      </c>
      <c r="E13" s="21" t="n">
        <f aca="false">-Inputs!C14</f>
        <v>-0.45</v>
      </c>
      <c r="G13" s="2" t="s">
        <v>110</v>
      </c>
    </row>
    <row r="14" customFormat="false" ht="15" hidden="false" customHeight="false" outlineLevel="0" collapsed="false">
      <c r="B14" s="22" t="s">
        <v>111</v>
      </c>
      <c r="C14" s="23" t="n">
        <f aca="false">C11+C12+C13</f>
        <v>2.23235</v>
      </c>
      <c r="D14" s="23" t="n">
        <f aca="false">D11+D12+D13</f>
        <v>0.449999999999999</v>
      </c>
      <c r="E14" s="23" t="n">
        <f aca="false">E11+E12+E13</f>
        <v>0.5725</v>
      </c>
      <c r="G14" s="2"/>
    </row>
    <row r="15" customFormat="false" ht="15" hidden="false" customHeight="false" outlineLevel="0" collapsed="false">
      <c r="B15" s="4" t="s">
        <v>112</v>
      </c>
      <c r="C15" s="21" t="n">
        <f aca="false">Inputs!C15</f>
        <v>0.5</v>
      </c>
      <c r="D15" s="21" t="n">
        <f aca="false">Inputs!C15</f>
        <v>0.5</v>
      </c>
      <c r="E15" s="21" t="n">
        <f aca="false">Inputs!C15</f>
        <v>0.5</v>
      </c>
      <c r="G15" s="2" t="s">
        <v>113</v>
      </c>
    </row>
    <row r="16" customFormat="false" ht="15" hidden="false" customHeight="false" outlineLevel="0" collapsed="false">
      <c r="B16" s="3" t="s">
        <v>114</v>
      </c>
      <c r="C16" s="24" t="str">
        <f aca="false">IF(C14&gt;=C15,"YES","NO")</f>
        <v>YES</v>
      </c>
      <c r="D16" s="24" t="str">
        <f aca="false">IF(D14&gt;=D15,"YES","NO")</f>
        <v>NO</v>
      </c>
      <c r="E16" s="24" t="str">
        <f aca="false">IF(E14&gt;=E15,"YES","NO")</f>
        <v>YES</v>
      </c>
    </row>
    <row r="17" customFormat="false" ht="22.35" hidden="false" customHeight="false" outlineLevel="0" collapsed="false">
      <c r="B17" s="3" t="s">
        <v>115</v>
      </c>
      <c r="C17" s="25" t="str">
        <f aca="false">IF((C14-C10)&gt;=C15,"NO: bankable w/o VCM","n/a")</f>
        <v>NO: bankable w/o VCM</v>
      </c>
      <c r="D17" s="25" t="str">
        <f aca="false">IF((D14-D10)&gt;=D15,"NO: bankable w/o VCM","n/a")</f>
        <v>n/a</v>
      </c>
      <c r="E17" s="25" t="str">
        <f aca="false">IF(E10=0,"n/a",IF((E14-E10)&lt;E15,"YES: VCM is the swing","NO: bankable w/o VCM"))</f>
        <v>YES: VCM is the swing</v>
      </c>
      <c r="G17" s="2" t="s">
        <v>116</v>
      </c>
    </row>
    <row r="19" customFormat="false" ht="15" hidden="false" customHeight="false" outlineLevel="0" collapsed="false">
      <c r="B19" s="3" t="s">
        <v>117</v>
      </c>
      <c r="C19" s="26" t="n">
        <f aca="false">C14*Inputs!C7</f>
        <v>200.9115</v>
      </c>
      <c r="D19" s="26" t="n">
        <f aca="false">D14*Inputs!C7</f>
        <v>40.5</v>
      </c>
      <c r="E19" s="26" t="n">
        <f aca="false">E14*Inputs!C7</f>
        <v>51.525</v>
      </c>
      <c r="G19" s="2" t="s">
        <v>118</v>
      </c>
    </row>
    <row r="21" customFormat="false" ht="15" hidden="false" customHeight="false" outlineLevel="0" collapsed="false">
      <c r="B21" s="3" t="s">
        <v>119</v>
      </c>
    </row>
    <row r="22" customFormat="false" ht="22.35" hidden="false" customHeight="false" outlineLevel="0" collapsed="false">
      <c r="B22" s="2" t="s">
        <v>120</v>
      </c>
    </row>
    <row r="23" customFormat="false" ht="22.35" hidden="false" customHeight="false" outlineLevel="0" collapsed="false">
      <c r="B23" s="2" t="s">
        <v>121</v>
      </c>
    </row>
    <row r="24" customFormat="false" ht="32.8" hidden="false" customHeight="false" outlineLevel="0" collapsed="false">
      <c r="B24" s="2" t="s">
        <v>122</v>
      </c>
    </row>
    <row r="26" customFormat="false" ht="26.85" hidden="false" customHeight="false" outlineLevel="0" collapsed="false">
      <c r="B26" s="8" t="s">
        <v>123</v>
      </c>
      <c r="C26" s="9"/>
      <c r="D26" s="9"/>
      <c r="E26" s="9"/>
      <c r="G26" s="9"/>
    </row>
    <row r="27" customFormat="false" ht="15" hidden="false" customHeight="false" outlineLevel="0" collapsed="false">
      <c r="B27" s="27" t="s">
        <v>124</v>
      </c>
      <c r="C27" s="27" t="s">
        <v>125</v>
      </c>
      <c r="D27" s="27" t="s">
        <v>126</v>
      </c>
      <c r="E27" s="27" t="s">
        <v>127</v>
      </c>
      <c r="G27" s="27" t="s">
        <v>128</v>
      </c>
    </row>
    <row r="28" customFormat="false" ht="15" hidden="false" customHeight="false" outlineLevel="0" collapsed="false">
      <c r="B28" s="4" t="s">
        <v>98</v>
      </c>
      <c r="C28" s="28" t="s">
        <v>38</v>
      </c>
      <c r="D28" s="26" t="n">
        <f aca="false">Inputs!C24/Inputs!C21</f>
        <v>94.6745562130178</v>
      </c>
      <c r="E28" s="29" t="n">
        <f aca="false">Inputs!C24</f>
        <v>0.8</v>
      </c>
      <c r="G28" s="2" t="s">
        <v>129</v>
      </c>
    </row>
    <row r="29" customFormat="false" ht="15" hidden="false" customHeight="false" outlineLevel="0" collapsed="false">
      <c r="B29" s="4" t="s">
        <v>100</v>
      </c>
      <c r="C29" s="28" t="s">
        <v>67</v>
      </c>
      <c r="D29" s="26" t="n">
        <f aca="false">Inputs!C25</f>
        <v>63</v>
      </c>
      <c r="E29" s="29" t="n">
        <f aca="false">Inputs!C25*Inputs!C21</f>
        <v>0.53235</v>
      </c>
      <c r="G29" s="2" t="s">
        <v>130</v>
      </c>
    </row>
    <row r="30" customFormat="false" ht="15" hidden="false" customHeight="false" outlineLevel="0" collapsed="false">
      <c r="B30" s="4" t="s">
        <v>131</v>
      </c>
      <c r="C30" s="28" t="s">
        <v>67</v>
      </c>
      <c r="D30" s="26" t="n">
        <f aca="false">Inputs!C29</f>
        <v>50</v>
      </c>
      <c r="E30" s="29" t="n">
        <f aca="false">Inputs!C29*Inputs!C21</f>
        <v>0.4225</v>
      </c>
      <c r="G30" s="2" t="s">
        <v>132</v>
      </c>
    </row>
    <row r="31" customFormat="false" ht="32.8" hidden="false" customHeight="false" outlineLevel="0" collapsed="false">
      <c r="B31" s="30" t="s">
        <v>133</v>
      </c>
      <c r="C31" s="28" t="s">
        <v>67</v>
      </c>
      <c r="D31" s="31" t="n">
        <f aca="false">Inputs!C28</f>
        <v>2000</v>
      </c>
      <c r="E31" s="32" t="n">
        <f aca="false">Inputs!C28*Inputs!C21</f>
        <v>16.9</v>
      </c>
      <c r="G31" s="2" t="s">
        <v>134</v>
      </c>
    </row>
    <row r="33" customFormat="false" ht="22.35" hidden="false" customHeight="false" outlineLevel="0" collapsed="false">
      <c r="B33" s="2" t="s">
        <v>135</v>
      </c>
    </row>
    <row r="34" customFormat="false" ht="22.35" hidden="false" customHeight="false" outlineLevel="0" collapsed="false">
      <c r="B34" s="2" t="s">
        <v>136</v>
      </c>
    </row>
    <row r="35" customFormat="false" ht="22.35" hidden="false" customHeight="false" outlineLevel="0" collapsed="false">
      <c r="B35" s="2" t="s">
        <v>137</v>
      </c>
    </row>
    <row r="36" customFormat="false" ht="22.35" hidden="false" customHeight="false" outlineLevel="0" collapsed="false">
      <c r="B36" s="2" t="s">
        <v>138</v>
      </c>
    </row>
    <row r="37" customFormat="false" ht="32.8" hidden="false" customHeight="false" outlineLevel="0" collapsed="false">
      <c r="B37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2" min="3" style="0" width="11"/>
  </cols>
  <sheetData>
    <row r="1" customFormat="false" ht="17.35" hidden="false" customHeight="false" outlineLevel="0" collapsed="false">
      <c r="B1" s="6" t="s">
        <v>140</v>
      </c>
    </row>
    <row r="2" customFormat="false" ht="15" hidden="false" customHeight="false" outlineLevel="0" collapsed="false">
      <c r="B2" s="7" t="s">
        <v>141</v>
      </c>
    </row>
    <row r="4" customFormat="false" ht="15" hidden="false" customHeight="false" outlineLevel="0" collapsed="false">
      <c r="B4" s="33" t="s">
        <v>142</v>
      </c>
      <c r="C4" s="20" t="s">
        <v>143</v>
      </c>
      <c r="D4" s="20" t="s">
        <v>144</v>
      </c>
      <c r="E4" s="20" t="s">
        <v>145</v>
      </c>
      <c r="F4" s="20" t="s">
        <v>146</v>
      </c>
      <c r="G4" s="20" t="s">
        <v>147</v>
      </c>
      <c r="H4" s="20" t="s">
        <v>148</v>
      </c>
      <c r="I4" s="20" t="s">
        <v>149</v>
      </c>
      <c r="J4" s="20" t="s">
        <v>150</v>
      </c>
      <c r="K4" s="20" t="s">
        <v>151</v>
      </c>
      <c r="L4" s="20" t="s">
        <v>152</v>
      </c>
    </row>
    <row r="5" customFormat="false" ht="15" hidden="false" customHeight="false" outlineLevel="0" collapsed="false">
      <c r="B5" s="4" t="s">
        <v>153</v>
      </c>
      <c r="C5" s="34" t="str">
        <f aca="false">IF(1&lt;=Inputs!C32,"Bridge","Compliance")</f>
        <v>Bridge</v>
      </c>
      <c r="D5" s="34" t="str">
        <f aca="false">IF(2&lt;=Inputs!C32,"Bridge","Compliance")</f>
        <v>Bridge</v>
      </c>
      <c r="E5" s="34" t="str">
        <f aca="false">IF(3&lt;=Inputs!C32,"Bridge","Compliance")</f>
        <v>Bridge</v>
      </c>
      <c r="F5" s="34" t="str">
        <f aca="false">IF(4&lt;=Inputs!C32,"Bridge","Compliance")</f>
        <v>Bridge</v>
      </c>
      <c r="G5" s="34" t="str">
        <f aca="false">IF(5&lt;=Inputs!C32,"Bridge","Compliance")</f>
        <v>Compliance</v>
      </c>
      <c r="H5" s="34" t="str">
        <f aca="false">IF(6&lt;=Inputs!C32,"Bridge","Compliance")</f>
        <v>Compliance</v>
      </c>
      <c r="I5" s="34" t="str">
        <f aca="false">IF(7&lt;=Inputs!C32,"Bridge","Compliance")</f>
        <v>Compliance</v>
      </c>
      <c r="J5" s="34" t="str">
        <f aca="false">IF(8&lt;=Inputs!C32,"Bridge","Compliance")</f>
        <v>Compliance</v>
      </c>
      <c r="K5" s="34" t="str">
        <f aca="false">IF(9&lt;=Inputs!C32,"Bridge","Compliance")</f>
        <v>Compliance</v>
      </c>
      <c r="L5" s="34" t="str">
        <f aca="false">IF(10&lt;=Inputs!C32,"Bridge","Compliance")</f>
        <v>Compliance</v>
      </c>
    </row>
    <row r="6" customFormat="false" ht="15" hidden="false" customHeight="false" outlineLevel="0" collapsed="false">
      <c r="B6" s="4" t="s">
        <v>154</v>
      </c>
      <c r="C6" s="21" t="n">
        <f aca="false">IF(1&lt;=Inputs!C32,Inputs!C29*Inputs!C21,0)</f>
        <v>0.4225</v>
      </c>
      <c r="D6" s="21" t="n">
        <f aca="false">IF(2&lt;=Inputs!C32,Inputs!C29*Inputs!C21,0)</f>
        <v>0.4225</v>
      </c>
      <c r="E6" s="21" t="n">
        <f aca="false">IF(3&lt;=Inputs!C32,Inputs!C29*Inputs!C21,0)</f>
        <v>0.4225</v>
      </c>
      <c r="F6" s="21" t="n">
        <f aca="false">IF(4&lt;=Inputs!C32,Inputs!C29*Inputs!C21,0)</f>
        <v>0.4225</v>
      </c>
      <c r="G6" s="21" t="n">
        <f aca="false">IF(5&lt;=Inputs!C32,Inputs!C29*Inputs!C21,0)</f>
        <v>0</v>
      </c>
      <c r="H6" s="21" t="n">
        <f aca="false">IF(6&lt;=Inputs!C32,Inputs!C29*Inputs!C21,0)</f>
        <v>0</v>
      </c>
      <c r="I6" s="21" t="n">
        <f aca="false">IF(7&lt;=Inputs!C32,Inputs!C29*Inputs!C21,0)</f>
        <v>0</v>
      </c>
      <c r="J6" s="21" t="n">
        <f aca="false">IF(8&lt;=Inputs!C32,Inputs!C29*Inputs!C21,0)</f>
        <v>0</v>
      </c>
      <c r="K6" s="21" t="n">
        <f aca="false">IF(9&lt;=Inputs!C32,Inputs!C29*Inputs!C21,0)</f>
        <v>0</v>
      </c>
      <c r="L6" s="21" t="n">
        <f aca="false">IF(10&lt;=Inputs!C32,Inputs!C29*Inputs!C21,0)</f>
        <v>0</v>
      </c>
    </row>
    <row r="7" customFormat="false" ht="15" hidden="false" customHeight="false" outlineLevel="0" collapsed="false">
      <c r="B7" s="4" t="s">
        <v>155</v>
      </c>
      <c r="C7" s="21" t="n">
        <f aca="false">IF(1&lt;=Inputs!C32,0,Inputs!C34*(1-Inputs!C33))</f>
        <v>0</v>
      </c>
      <c r="D7" s="21" t="n">
        <f aca="false">IF(2&lt;=Inputs!C32,0,Inputs!C34*(1-Inputs!C33))</f>
        <v>0</v>
      </c>
      <c r="E7" s="21" t="n">
        <f aca="false">IF(3&lt;=Inputs!C32,0,Inputs!C34*(1-Inputs!C33))</f>
        <v>0</v>
      </c>
      <c r="F7" s="21" t="n">
        <f aca="false">IF(4&lt;=Inputs!C32,0,Inputs!C34*(1-Inputs!C33))</f>
        <v>0</v>
      </c>
      <c r="G7" s="21" t="n">
        <f aca="false">IF(5&lt;=Inputs!C32,0,Inputs!C34*(1-Inputs!C33))</f>
        <v>0.72</v>
      </c>
      <c r="H7" s="21" t="n">
        <f aca="false">IF(6&lt;=Inputs!C32,0,Inputs!C34*(1-Inputs!C33))</f>
        <v>0.72</v>
      </c>
      <c r="I7" s="21" t="n">
        <f aca="false">IF(7&lt;=Inputs!C32,0,Inputs!C34*(1-Inputs!C33))</f>
        <v>0.72</v>
      </c>
      <c r="J7" s="21" t="n">
        <f aca="false">IF(8&lt;=Inputs!C32,0,Inputs!C34*(1-Inputs!C33))</f>
        <v>0.72</v>
      </c>
      <c r="K7" s="21" t="n">
        <f aca="false">IF(9&lt;=Inputs!C32,0,Inputs!C34*(1-Inputs!C33))</f>
        <v>0.72</v>
      </c>
      <c r="L7" s="21" t="n">
        <f aca="false">IF(10&lt;=Inputs!C32,0,Inputs!C34*(1-Inputs!C33))</f>
        <v>0.72</v>
      </c>
    </row>
    <row r="8" customFormat="false" ht="15" hidden="false" customHeight="false" outlineLevel="0" collapsed="false">
      <c r="B8" s="4" t="s">
        <v>156</v>
      </c>
      <c r="C8" s="21" t="n">
        <f aca="false">Inputs!C12+Inputs!C10-Inputs!C11-Inputs!C14</f>
        <v>0.15</v>
      </c>
      <c r="D8" s="21" t="n">
        <f aca="false">Inputs!C12+Inputs!C10-Inputs!C11-Inputs!C14</f>
        <v>0.15</v>
      </c>
      <c r="E8" s="21" t="n">
        <f aca="false">Inputs!C12+Inputs!C10-Inputs!C11-Inputs!C14</f>
        <v>0.15</v>
      </c>
      <c r="F8" s="21" t="n">
        <f aca="false">Inputs!C12+Inputs!C10-Inputs!C11-Inputs!C14</f>
        <v>0.15</v>
      </c>
      <c r="G8" s="21" t="n">
        <f aca="false">Inputs!C12+Inputs!C10-Inputs!C11-Inputs!C14</f>
        <v>0.15</v>
      </c>
      <c r="H8" s="21" t="n">
        <f aca="false">Inputs!C12+Inputs!C10-Inputs!C11-Inputs!C14</f>
        <v>0.15</v>
      </c>
      <c r="I8" s="21" t="n">
        <f aca="false">Inputs!C12+Inputs!C10-Inputs!C11-Inputs!C14</f>
        <v>0.15</v>
      </c>
      <c r="J8" s="21" t="n">
        <f aca="false">Inputs!C12+Inputs!C10-Inputs!C11-Inputs!C14</f>
        <v>0.15</v>
      </c>
      <c r="K8" s="21" t="n">
        <f aca="false">Inputs!C12+Inputs!C10-Inputs!C11-Inputs!C14</f>
        <v>0.15</v>
      </c>
      <c r="L8" s="21" t="n">
        <f aca="false">Inputs!C12+Inputs!C10-Inputs!C11-Inputs!C14</f>
        <v>0.15</v>
      </c>
    </row>
    <row r="9" customFormat="false" ht="15" hidden="false" customHeight="false" outlineLevel="0" collapsed="false">
      <c r="B9" s="22" t="s">
        <v>157</v>
      </c>
      <c r="C9" s="23" t="n">
        <f aca="false">C6+C7+C8</f>
        <v>0.5725</v>
      </c>
      <c r="D9" s="23" t="n">
        <f aca="false">D6+D7+D8</f>
        <v>0.5725</v>
      </c>
      <c r="E9" s="23" t="n">
        <f aca="false">E6+E7+E8</f>
        <v>0.5725</v>
      </c>
      <c r="F9" s="23" t="n">
        <f aca="false">F6+F7+F8</f>
        <v>0.5725</v>
      </c>
      <c r="G9" s="23" t="n">
        <f aca="false">G6+G7+G8</f>
        <v>0.87</v>
      </c>
      <c r="H9" s="23" t="n">
        <f aca="false">H6+H7+H8</f>
        <v>0.87</v>
      </c>
      <c r="I9" s="23" t="n">
        <f aca="false">I6+I7+I8</f>
        <v>0.87</v>
      </c>
      <c r="J9" s="23" t="n">
        <f aca="false">J6+J7+J8</f>
        <v>0.87</v>
      </c>
      <c r="K9" s="23" t="n">
        <f aca="false">K6+K7+K8</f>
        <v>0.87</v>
      </c>
      <c r="L9" s="23" t="n">
        <f aca="false">L6+L7+L8</f>
        <v>0.87</v>
      </c>
    </row>
    <row r="10" customFormat="false" ht="15" hidden="false" customHeight="false" outlineLevel="0" collapsed="false">
      <c r="B10" s="22" t="s">
        <v>158</v>
      </c>
      <c r="C10" s="35" t="n">
        <f aca="false">C9*Inputs!C7</f>
        <v>51.525</v>
      </c>
      <c r="D10" s="35" t="n">
        <f aca="false">D9*Inputs!C7</f>
        <v>51.525</v>
      </c>
      <c r="E10" s="35" t="n">
        <f aca="false">E9*Inputs!C7</f>
        <v>51.525</v>
      </c>
      <c r="F10" s="35" t="n">
        <f aca="false">F9*Inputs!C7</f>
        <v>51.525</v>
      </c>
      <c r="G10" s="35" t="n">
        <f aca="false">G9*Inputs!C7</f>
        <v>78.3</v>
      </c>
      <c r="H10" s="35" t="n">
        <f aca="false">H9*Inputs!C7</f>
        <v>78.3</v>
      </c>
      <c r="I10" s="35" t="n">
        <f aca="false">I9*Inputs!C7</f>
        <v>78.3</v>
      </c>
      <c r="J10" s="35" t="n">
        <f aca="false">J9*Inputs!C7</f>
        <v>78.3</v>
      </c>
      <c r="K10" s="35" t="n">
        <f aca="false">K9*Inputs!C7</f>
        <v>78.3</v>
      </c>
      <c r="L10" s="35" t="n">
        <f aca="false">L9*Inputs!C7</f>
        <v>78.3</v>
      </c>
    </row>
    <row r="11" customFormat="false" ht="15" hidden="false" customHeight="false" outlineLevel="0" collapsed="false">
      <c r="B11" s="4" t="s">
        <v>159</v>
      </c>
      <c r="C11" s="36" t="n">
        <f aca="false">1/(1+Inputs!C35)^1</f>
        <v>0.892857142857143</v>
      </c>
      <c r="D11" s="36" t="n">
        <f aca="false">1/(1+Inputs!C35)^2</f>
        <v>0.79719387755102</v>
      </c>
      <c r="E11" s="36" t="n">
        <f aca="false">1/(1+Inputs!C35)^3</f>
        <v>0.711780247813411</v>
      </c>
      <c r="F11" s="36" t="n">
        <f aca="false">1/(1+Inputs!C35)^4</f>
        <v>0.635518078404831</v>
      </c>
      <c r="G11" s="36" t="n">
        <f aca="false">1/(1+Inputs!C35)^5</f>
        <v>0.567426855718599</v>
      </c>
      <c r="H11" s="36" t="n">
        <f aca="false">1/(1+Inputs!C35)^6</f>
        <v>0.506631121177321</v>
      </c>
      <c r="I11" s="36" t="n">
        <f aca="false">1/(1+Inputs!C35)^7</f>
        <v>0.452349215336893</v>
      </c>
      <c r="J11" s="36" t="n">
        <f aca="false">1/(1+Inputs!C35)^8</f>
        <v>0.403883227979369</v>
      </c>
      <c r="K11" s="36" t="n">
        <f aca="false">1/(1+Inputs!C35)^9</f>
        <v>0.360610024981579</v>
      </c>
      <c r="L11" s="36" t="n">
        <f aca="false">1/(1+Inputs!C35)^10</f>
        <v>0.321973236590696</v>
      </c>
    </row>
    <row r="12" customFormat="false" ht="15" hidden="false" customHeight="false" outlineLevel="0" collapsed="false">
      <c r="B12" s="4" t="s">
        <v>160</v>
      </c>
      <c r="C12" s="37" t="n">
        <f aca="false">C10*C11</f>
        <v>46.0044642857143</v>
      </c>
      <c r="D12" s="37" t="n">
        <f aca="false">D10*D11</f>
        <v>41.0754145408163</v>
      </c>
      <c r="E12" s="37" t="n">
        <f aca="false">E10*E11</f>
        <v>36.674477268586</v>
      </c>
      <c r="F12" s="37" t="n">
        <f aca="false">F10*F11</f>
        <v>32.7450689898089</v>
      </c>
      <c r="G12" s="37" t="n">
        <f aca="false">G10*G11</f>
        <v>44.4295228027663</v>
      </c>
      <c r="H12" s="37" t="n">
        <f aca="false">H10*H11</f>
        <v>39.6692167881842</v>
      </c>
      <c r="I12" s="37" t="n">
        <f aca="false">I10*I11</f>
        <v>35.4189435608787</v>
      </c>
      <c r="J12" s="37" t="n">
        <f aca="false">J10*J11</f>
        <v>31.6240567507846</v>
      </c>
      <c r="K12" s="37" t="n">
        <f aca="false">K10*K11</f>
        <v>28.2357649560577</v>
      </c>
      <c r="L12" s="37" t="n">
        <f aca="false">L10*L11</f>
        <v>25.2105044250515</v>
      </c>
    </row>
    <row r="14" customFormat="false" ht="43.25" hidden="false" customHeight="false" outlineLevel="0" collapsed="false">
      <c r="B14" s="3" t="s">
        <v>161</v>
      </c>
      <c r="C14" s="38" t="n">
        <f aca="false">SUM(C12:L12)</f>
        <v>361.087434368648</v>
      </c>
      <c r="E14" s="2" t="s">
        <v>162</v>
      </c>
    </row>
    <row r="16" customFormat="false" ht="15" hidden="false" customHeight="false" outlineLevel="0" collapsed="false">
      <c r="B16" s="3" t="s">
        <v>163</v>
      </c>
    </row>
    <row r="17" customFormat="false" ht="32.8" hidden="false" customHeight="false" outlineLevel="0" collapsed="false">
      <c r="B17" s="2" t="s">
        <v>164</v>
      </c>
    </row>
    <row r="18" customFormat="false" ht="32.8" hidden="false" customHeight="false" outlineLevel="0" collapsed="false">
      <c r="B18" s="2" t="s">
        <v>165</v>
      </c>
    </row>
    <row r="19" customFormat="false" ht="32.8" hidden="false" customHeight="false" outlineLevel="0" collapsed="false">
      <c r="B19" s="2" t="s">
        <v>166</v>
      </c>
    </row>
    <row r="20" customFormat="false" ht="32.8" hidden="false" customHeight="false" outlineLevel="0" collapsed="false">
      <c r="B20" s="2" t="s">
        <v>167</v>
      </c>
    </row>
    <row r="21" customFormat="false" ht="32.8" hidden="false" customHeight="false" outlineLevel="0" collapsed="false">
      <c r="B21" s="2" t="s">
        <v>168</v>
      </c>
    </row>
    <row r="22" customFormat="false" ht="22.35" hidden="false" customHeight="false" outlineLevel="0" collapsed="false">
      <c r="B22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2026-05-23T19:27:14Z</dcterms:created>
  <dc:creator>openpyxl</dc:creator>
  <dc:description/>
  <dc:language>en-US</dc:language>
  <cp:lastModifiedBy/>
  <dcterms:modified xsi:type="dcterms:W3CDTF">2026-05-23T19:27:14Z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